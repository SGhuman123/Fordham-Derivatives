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 Redone/HW4/"/>
    </mc:Choice>
  </mc:AlternateContent>
  <xr:revisionPtr revIDLastSave="0" documentId="13_ncr:1_{E9C56F67-F9F7-D348-BC68-E6DCA96D715C}" xr6:coauthVersionLast="47" xr6:coauthVersionMax="47" xr10:uidLastSave="{00000000-0000-0000-0000-000000000000}"/>
  <bookViews>
    <workbookView xWindow="0" yWindow="660" windowWidth="15140" windowHeight="17480" activeTab="1" xr2:uid="{6CAA27A4-78AA-384B-B660-CB1441837CF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3" i="2"/>
  <c r="B4" i="2"/>
  <c r="B5" i="2"/>
  <c r="B2" i="2"/>
  <c r="D9" i="2" s="1"/>
  <c r="E9" i="2" s="1"/>
  <c r="C12" i="2"/>
  <c r="C11" i="2"/>
  <c r="C10" i="2"/>
  <c r="C9" i="2"/>
  <c r="D5" i="2"/>
  <c r="D4" i="2"/>
  <c r="D3" i="2"/>
  <c r="D11" i="2"/>
  <c r="E11" i="2" s="1"/>
  <c r="B10" i="2"/>
  <c r="B11" i="2"/>
  <c r="B12" i="2"/>
  <c r="B9" i="2"/>
  <c r="D2" i="2"/>
  <c r="F14" i="1"/>
  <c r="F13" i="1"/>
  <c r="F12" i="1"/>
  <c r="F11" i="1"/>
  <c r="F10" i="1"/>
  <c r="E13" i="1"/>
  <c r="E12" i="1"/>
  <c r="E11" i="1"/>
  <c r="E10" i="1"/>
  <c r="C4" i="1"/>
  <c r="D14" i="1"/>
  <c r="C14" i="1"/>
  <c r="D13" i="1"/>
  <c r="D12" i="1"/>
  <c r="D11" i="1"/>
  <c r="D10" i="1"/>
  <c r="C13" i="1"/>
  <c r="C12" i="1"/>
  <c r="C11" i="1"/>
  <c r="C10" i="1"/>
  <c r="E5" i="1"/>
  <c r="E4" i="1"/>
  <c r="E6" i="1"/>
  <c r="E7" i="1"/>
  <c r="D10" i="2" l="1"/>
  <c r="E10" i="2" s="1"/>
  <c r="C6" i="1"/>
  <c r="C7" i="1"/>
  <c r="C5" i="1"/>
  <c r="C15" i="1" l="1"/>
  <c r="D12" i="2"/>
  <c r="E12" i="2" s="1"/>
</calcChain>
</file>

<file path=xl/sharedStrings.xml><?xml version="1.0" encoding="utf-8"?>
<sst xmlns="http://schemas.openxmlformats.org/spreadsheetml/2006/main" count="23" uniqueCount="19">
  <si>
    <t>Year</t>
  </si>
  <si>
    <t>Receive Fixed 
Swap Rate</t>
  </si>
  <si>
    <t>Annual Spot
Interest Rate</t>
  </si>
  <si>
    <t>Pay Floating
Implied Forward Rate</t>
  </si>
  <si>
    <t xml:space="preserve">Year </t>
  </si>
  <si>
    <t>Discount Factor</t>
  </si>
  <si>
    <t>Disc. Implied
FwdRate</t>
  </si>
  <si>
    <t>Expected CF</t>
  </si>
  <si>
    <t>Disc.
Expected CF</t>
  </si>
  <si>
    <t xml:space="preserve">SUM
Swap Rate = </t>
  </si>
  <si>
    <t>N =</t>
  </si>
  <si>
    <t>Total:</t>
  </si>
  <si>
    <t>Year (A)</t>
  </si>
  <si>
    <t>Pay Floating–
Implied Forward Rate</t>
  </si>
  <si>
    <t>Receive
Fixed Swap Rate</t>
  </si>
  <si>
    <t>Disc.
Implied FwdRate</t>
  </si>
  <si>
    <t>Expected
CF</t>
  </si>
  <si>
    <t>sum
swap rate =</t>
  </si>
  <si>
    <t xml:space="preserve">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</si>
</sst>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6" formatCode="0.0000%"/>
    <numFmt numFmtId="168" formatCode="0.000000%"/>
    <numFmt numFmtId="172" formatCode="0.0000000000%"/>
    <numFmt numFmtId="173" formatCode="&quot;$&quot;#,##0.00"/>
    <numFmt numFmtId="174" formatCode="&quot;$&quot;#,##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/>
    <xf numFmtId="166" fontId="0" fillId="0" borderId="2" xfId="0" applyNumberFormat="1" applyBorder="1"/>
    <xf numFmtId="0" fontId="1" fillId="0" borderId="2" xfId="0" applyFont="1" applyFill="1" applyBorder="1" applyAlignment="1">
      <alignment vertical="top" wrapText="1"/>
    </xf>
    <xf numFmtId="166" fontId="0" fillId="2" borderId="2" xfId="0" applyNumberFormat="1" applyFill="1" applyBorder="1"/>
    <xf numFmtId="168" fontId="0" fillId="0" borderId="2" xfId="0" applyNumberFormat="1" applyBorder="1"/>
    <xf numFmtId="172" fontId="0" fillId="0" borderId="2" xfId="0" applyNumberFormat="1" applyBorder="1"/>
    <xf numFmtId="173" fontId="1" fillId="0" borderId="2" xfId="0" applyNumberFormat="1" applyFont="1" applyBorder="1" applyAlignment="1">
      <alignment vertical="top"/>
    </xf>
    <xf numFmtId="174" fontId="0" fillId="0" borderId="2" xfId="0" applyNumberFormat="1" applyBorder="1"/>
    <xf numFmtId="0" fontId="0" fillId="0" borderId="2" xfId="0" applyFill="1" applyBorder="1"/>
    <xf numFmtId="174" fontId="0" fillId="0" borderId="0" xfId="0" applyNumberFormat="1"/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/>
    <xf numFmtId="166" fontId="2" fillId="0" borderId="2" xfId="0" applyNumberFormat="1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6" fontId="0" fillId="0" borderId="2" xfId="0" applyNumberFormat="1" applyBorder="1"/>
    <xf numFmtId="168" fontId="2" fillId="0" borderId="2" xfId="0" applyNumberFormat="1" applyFont="1" applyBorder="1"/>
    <xf numFmtId="8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DFDF-799F-4346-AC07-F83C08C5B744}">
  <dimension ref="B3:H15"/>
  <sheetViews>
    <sheetView zoomScale="132" workbookViewId="0">
      <selection activeCell="F14" sqref="F14"/>
    </sheetView>
  </sheetViews>
  <sheetFormatPr baseColWidth="10" defaultRowHeight="16" x14ac:dyDescent="0.2"/>
  <cols>
    <col min="2" max="2" width="12.83203125" customWidth="1"/>
    <col min="3" max="3" width="16.5" customWidth="1"/>
    <col min="4" max="4" width="15.83203125" customWidth="1"/>
    <col min="5" max="5" width="20.6640625" customWidth="1"/>
    <col min="6" max="6" width="16.5" customWidth="1"/>
    <col min="8" max="8" width="13.83203125" bestFit="1" customWidth="1"/>
  </cols>
  <sheetData>
    <row r="3" spans="2:8" ht="34" x14ac:dyDescent="0.2">
      <c r="B3" s="3" t="s">
        <v>0</v>
      </c>
      <c r="C3" s="4" t="s">
        <v>1</v>
      </c>
      <c r="D3" s="4" t="s">
        <v>2</v>
      </c>
      <c r="E3" s="4" t="s">
        <v>3</v>
      </c>
      <c r="G3" s="7" t="s">
        <v>10</v>
      </c>
      <c r="H3" s="11">
        <v>10000000</v>
      </c>
    </row>
    <row r="4" spans="2:8" x14ac:dyDescent="0.2">
      <c r="B4" s="5">
        <v>1</v>
      </c>
      <c r="C4" s="9">
        <f>SUM($D$10:$D$11)/SUM($C$10:$C$11)</f>
        <v>5.4042237049157164E-2</v>
      </c>
      <c r="D4" s="8">
        <v>5.3865999999999997E-2</v>
      </c>
      <c r="E4" s="10">
        <f>((1+D4)^(1/(B4-0))-1)</f>
        <v>5.3865999999999969E-2</v>
      </c>
    </row>
    <row r="5" spans="2:8" x14ac:dyDescent="0.2">
      <c r="B5" s="5">
        <v>2</v>
      </c>
      <c r="C5" s="9">
        <f>SUM($D$10:$D$11)/SUM($C$10:$C$11)</f>
        <v>5.4042237049157164E-2</v>
      </c>
      <c r="D5" s="8">
        <v>5.4046999999999998E-2</v>
      </c>
      <c r="E5" s="10">
        <f>(((1+D5)^B5/(1+D4)^B4)^(1/(B5-B4)))-1</f>
        <v>5.4228031086494655E-2</v>
      </c>
    </row>
    <row r="6" spans="2:8" x14ac:dyDescent="0.2">
      <c r="B6" s="5">
        <v>3</v>
      </c>
      <c r="C6" s="9">
        <f>SUM($D$10:$D$11)/SUM($C$10:$C$11)</f>
        <v>5.4042237049157164E-2</v>
      </c>
      <c r="D6" s="8">
        <v>5.4135999999999997E-2</v>
      </c>
      <c r="E6" s="10">
        <f t="shared" ref="E6:E7" si="0">(((1+D6)^B6/(1+D5)^B5)^(1/(B6-B5)))-1</f>
        <v>5.4314022545170149E-2</v>
      </c>
    </row>
    <row r="7" spans="2:8" x14ac:dyDescent="0.2">
      <c r="B7" s="5">
        <v>4</v>
      </c>
      <c r="C7" s="9">
        <f>SUM($D$10:$D$11)/SUM($C$10:$C$11)</f>
        <v>5.4042237049157164E-2</v>
      </c>
      <c r="D7" s="8">
        <v>5.4225000000000002E-2</v>
      </c>
      <c r="E7" s="10">
        <f t="shared" si="0"/>
        <v>5.4492045087801921E-2</v>
      </c>
    </row>
    <row r="9" spans="2:8" ht="34" x14ac:dyDescent="0.2">
      <c r="B9" s="3" t="s">
        <v>4</v>
      </c>
      <c r="C9" s="3" t="s">
        <v>5</v>
      </c>
      <c r="D9" s="4" t="s">
        <v>6</v>
      </c>
      <c r="E9" s="3" t="s">
        <v>7</v>
      </c>
      <c r="F9" s="4" t="s">
        <v>8</v>
      </c>
    </row>
    <row r="10" spans="2:8" x14ac:dyDescent="0.2">
      <c r="B10" s="5">
        <v>1</v>
      </c>
      <c r="C10" s="5">
        <f>(1+D4)^(-B10)</f>
        <v>0.9488872399337297</v>
      </c>
      <c r="D10" s="5">
        <f>C10*E4</f>
        <v>5.1112760066270253E-2</v>
      </c>
      <c r="E10" s="12">
        <f>$H$3*(C4-E4)</f>
        <v>1762.3704915719491</v>
      </c>
      <c r="F10" s="12">
        <f>C10*E10</f>
        <v>1672.2908714883572</v>
      </c>
    </row>
    <row r="11" spans="2:8" x14ac:dyDescent="0.2">
      <c r="B11" s="5">
        <v>2</v>
      </c>
      <c r="C11" s="5">
        <f>(1+D5)^(-B11)</f>
        <v>0.90007779337436133</v>
      </c>
      <c r="D11" s="5">
        <f>C11*E5</f>
        <v>4.8809446559368377E-2</v>
      </c>
      <c r="E11" s="12">
        <f>$H$3*(C5-E5)</f>
        <v>-1857.9403733749027</v>
      </c>
      <c r="F11" s="12">
        <f>C11*E11</f>
        <v>-1672.2908714884195</v>
      </c>
    </row>
    <row r="12" spans="2:8" x14ac:dyDescent="0.2">
      <c r="B12" s="5">
        <v>3</v>
      </c>
      <c r="C12" s="5">
        <f>(1+D6)^(-B12)</f>
        <v>0.8537094016842588</v>
      </c>
      <c r="D12" s="5">
        <f>C12*E6</f>
        <v>4.6368391690102553E-2</v>
      </c>
      <c r="E12" s="12">
        <f>$H$3*(C6-E6)</f>
        <v>-2717.8549601298423</v>
      </c>
      <c r="F12" s="12">
        <f>C12*E12</f>
        <v>-2320.2583318770426</v>
      </c>
    </row>
    <row r="13" spans="2:8" x14ac:dyDescent="0.2">
      <c r="B13" s="5">
        <v>4</v>
      </c>
      <c r="C13" s="5">
        <f>(1+D7)^(-B13)</f>
        <v>0.80959302221495177</v>
      </c>
      <c r="D13" s="5">
        <f>C13*E7</f>
        <v>4.4116379469306972E-2</v>
      </c>
      <c r="E13" s="12">
        <f>$H$3*(C7-E7)</f>
        <v>-4498.0803864475702</v>
      </c>
      <c r="F13" s="12">
        <f>C13*E13</f>
        <v>-3641.6144942298865</v>
      </c>
    </row>
    <row r="14" spans="2:8" x14ac:dyDescent="0.2">
      <c r="B14" s="5" t="s">
        <v>11</v>
      </c>
      <c r="C14" s="13">
        <f>SUM(C10:C13)</f>
        <v>3.5122674572073014</v>
      </c>
      <c r="D14" s="13">
        <f>SUM(D10:D13)</f>
        <v>0.19040697778504817</v>
      </c>
      <c r="F14" s="14">
        <f>SUM(F10:F13)</f>
        <v>-5961.8728261069919</v>
      </c>
    </row>
    <row r="15" spans="2:8" ht="34" x14ac:dyDescent="0.2">
      <c r="B15" s="1" t="s">
        <v>9</v>
      </c>
      <c r="C15" s="2">
        <f>SUM(F10:F13)</f>
        <v>-5961.8728261069919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5EAE-5217-DE40-837D-6D883F2CA52E}">
  <dimension ref="A1:G15"/>
  <sheetViews>
    <sheetView tabSelected="1" workbookViewId="0">
      <selection activeCell="B16" sqref="B16"/>
    </sheetView>
  </sheetViews>
  <sheetFormatPr baseColWidth="10" defaultRowHeight="16" x14ac:dyDescent="0.2"/>
  <cols>
    <col min="1" max="1" width="10.33203125" bestFit="1" customWidth="1"/>
    <col min="2" max="2" width="18.5" customWidth="1"/>
    <col min="3" max="3" width="19.1640625" customWidth="1"/>
    <col min="4" max="4" width="14.1640625" bestFit="1" customWidth="1"/>
    <col min="5" max="5" width="12.33203125" customWidth="1"/>
    <col min="7" max="7" width="11.83203125" bestFit="1" customWidth="1"/>
  </cols>
  <sheetData>
    <row r="1" spans="1:7" ht="53" customHeight="1" x14ac:dyDescent="0.2">
      <c r="A1" s="15" t="s">
        <v>12</v>
      </c>
      <c r="B1" s="16" t="s">
        <v>14</v>
      </c>
      <c r="C1" s="16" t="s">
        <v>2</v>
      </c>
      <c r="D1" s="4" t="s">
        <v>13</v>
      </c>
      <c r="F1" s="20" t="s">
        <v>18</v>
      </c>
      <c r="G1" s="21">
        <v>10000000</v>
      </c>
    </row>
    <row r="2" spans="1:7" x14ac:dyDescent="0.2">
      <c r="A2" s="17">
        <v>1</v>
      </c>
      <c r="B2" s="22">
        <f>SUM($C$9:$C$12)/SUM($B$9:$B$12)</f>
        <v>5.4211981321162228E-2</v>
      </c>
      <c r="C2" s="18">
        <v>5.3865999999999997E-2</v>
      </c>
      <c r="D2" s="6">
        <f>C2</f>
        <v>5.3865999999999997E-2</v>
      </c>
    </row>
    <row r="3" spans="1:7" x14ac:dyDescent="0.2">
      <c r="A3" s="17">
        <v>2</v>
      </c>
      <c r="B3" s="22">
        <f t="shared" ref="B3:B5" si="0">SUM($C$9:$C$12)/SUM($B$9:$B$12)</f>
        <v>5.4211981321162228E-2</v>
      </c>
      <c r="C3" s="18">
        <v>5.4046999999999998E-2</v>
      </c>
      <c r="D3" s="6">
        <f>((1+C3)^A3 / (1+C2)^A2)^(1/(A3-A2)) - 1</f>
        <v>5.4228031086494655E-2</v>
      </c>
    </row>
    <row r="4" spans="1:7" x14ac:dyDescent="0.2">
      <c r="A4" s="17">
        <v>3</v>
      </c>
      <c r="B4" s="22">
        <f t="shared" si="0"/>
        <v>5.4211981321162228E-2</v>
      </c>
      <c r="C4" s="18">
        <v>5.4135999999999997E-2</v>
      </c>
      <c r="D4" s="6">
        <f>((1+C4)^A4 / (1+C3)^A3)^(1/(A4-A3)) - 1</f>
        <v>5.4314022545170149E-2</v>
      </c>
    </row>
    <row r="5" spans="1:7" x14ac:dyDescent="0.2">
      <c r="A5" s="17">
        <v>4</v>
      </c>
      <c r="B5" s="22">
        <f t="shared" si="0"/>
        <v>5.4211981321162228E-2</v>
      </c>
      <c r="C5" s="18">
        <v>5.4225000000000002E-2</v>
      </c>
      <c r="D5" s="6">
        <f>((1+C5)^A5 / (1+C4)^A4)^(1/(A5-A4)) - 1</f>
        <v>5.4492045087801921E-2</v>
      </c>
    </row>
    <row r="8" spans="1:7" ht="51" x14ac:dyDescent="0.2">
      <c r="A8" s="15" t="s">
        <v>12</v>
      </c>
      <c r="B8" s="5" t="s">
        <v>5</v>
      </c>
      <c r="C8" s="19" t="s">
        <v>15</v>
      </c>
      <c r="D8" s="19" t="s">
        <v>16</v>
      </c>
      <c r="E8" s="19" t="s">
        <v>8</v>
      </c>
    </row>
    <row r="9" spans="1:7" x14ac:dyDescent="0.2">
      <c r="A9" s="17">
        <v>1</v>
      </c>
      <c r="B9" s="5">
        <f>(1+C2)^(-A2)</f>
        <v>0.9488872399337297</v>
      </c>
      <c r="C9" s="5">
        <f>B9*D2</f>
        <v>5.1112760066270281E-2</v>
      </c>
      <c r="D9" s="23">
        <f>$G$1 * (B2-D2)</f>
        <v>3459.8132116223092</v>
      </c>
      <c r="E9" s="23">
        <f>D9*B9</f>
        <v>3282.9726090625459</v>
      </c>
    </row>
    <row r="10" spans="1:7" x14ac:dyDescent="0.2">
      <c r="A10" s="17">
        <v>2</v>
      </c>
      <c r="B10" s="5">
        <f t="shared" ref="B10:B12" si="1">(1+C3)^(-A3)</f>
        <v>0.90007779337436133</v>
      </c>
      <c r="C10" s="5">
        <f>B10*D3</f>
        <v>4.8809446559368377E-2</v>
      </c>
      <c r="D10" s="23">
        <f>$G$1 * (B3-D3)</f>
        <v>-160.49765332426523</v>
      </c>
      <c r="E10" s="23">
        <f t="shared" ref="E10:E12" si="2">D10*B10</f>
        <v>-144.46037364586789</v>
      </c>
    </row>
    <row r="11" spans="1:7" x14ac:dyDescent="0.2">
      <c r="A11" s="17">
        <v>3</v>
      </c>
      <c r="B11" s="5">
        <f t="shared" si="1"/>
        <v>0.8537094016842588</v>
      </c>
      <c r="C11" s="5">
        <f>B11*D4</f>
        <v>4.6368391690102553E-2</v>
      </c>
      <c r="D11" s="23">
        <f>$G$1 * (B4-D4)</f>
        <v>-1020.4122400792048</v>
      </c>
      <c r="E11" s="23">
        <f t="shared" si="2"/>
        <v>-871.13552294931219</v>
      </c>
    </row>
    <row r="12" spans="1:7" x14ac:dyDescent="0.2">
      <c r="A12" s="17">
        <v>4</v>
      </c>
      <c r="B12" s="5">
        <f t="shared" si="1"/>
        <v>0.80959302221495177</v>
      </c>
      <c r="C12" s="5">
        <f>B12*D5</f>
        <v>4.4116379469306972E-2</v>
      </c>
      <c r="D12" s="23">
        <f>$G$1 * (B5-D5)</f>
        <v>-2800.6376663969322</v>
      </c>
      <c r="E12" s="23">
        <f>D12*B12</f>
        <v>-2267.3767124673222</v>
      </c>
    </row>
    <row r="15" spans="1:7" ht="51" x14ac:dyDescent="0.2">
      <c r="A15" s="19" t="s">
        <v>17</v>
      </c>
      <c r="B15" s="23">
        <f>SUM(E9:E12)</f>
        <v>4.3655745685100555E-11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2026-02-01T07:34:50Z</dcterms:created>
  <dcterms:modified xsi:type="dcterms:W3CDTF">2026-02-01T08:23:52Z</dcterms:modified>
</cp:coreProperties>
</file>